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"/>
    <numFmt numFmtId="166" formatCode="0.0%"/>
    <numFmt numFmtId="167" formatCode="$#,##0;($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i val="1"/>
      <color rgb="00666666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232F3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4" fontId="5" fillId="4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horizontal="right"/>
    </xf>
    <xf numFmtId="165" fontId="5" fillId="0" borderId="0" pivotButton="0" quotePrefix="0" xfId="0"/>
    <xf numFmtId="166" fontId="5" fillId="0" borderId="0" pivotButton="0" quotePrefix="0" xfId="0"/>
    <xf numFmtId="164" fontId="7" fillId="0" borderId="0" pivotButton="0" quotePrefix="0" xfId="0"/>
    <xf numFmtId="164" fontId="6" fillId="0" borderId="1" pivotButton="0" quotePrefix="0" xfId="0"/>
    <xf numFmtId="0" fontId="8" fillId="0" borderId="0" pivotButton="0" quotePrefix="0" xfId="0"/>
    <xf numFmtId="167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SLG AI Agents — AWS Run-Cost Calculator</t>
        </is>
      </c>
    </row>
    <row r="2">
      <c r="A2" s="2" t="inlineStr"/>
    </row>
    <row r="3">
      <c r="A3" s="2" t="inlineStr">
        <is>
          <t>Worked example: Agent 01 — Resident Services / 311.</t>
        </is>
      </c>
    </row>
    <row r="4">
      <c r="A4" s="2" t="inlineStr"/>
    </row>
    <row r="5">
      <c r="A5" s="2" t="inlineStr">
        <is>
          <t>WHAT THIS IS: a formula-driven estimate of the monthly AWS infrastructure cost to RUN the governed</t>
        </is>
      </c>
    </row>
    <row r="6">
      <c r="A6" s="2" t="inlineStr">
        <is>
          <t>pattern (Bedrock, Guardrails, Lambda, Step Functions, DynamoDB, S3 Object Lock, CloudWatch, WAF,</t>
        </is>
      </c>
    </row>
    <row r="7">
      <c r="A7" s="2" t="inlineStr">
        <is>
          <t>PrivateLink, API Gateway, Cognito, KMS) + AWS Support. It is the run-cost companion to the value-side</t>
        </is>
      </c>
    </row>
    <row r="8">
      <c r="A8" s="2" t="inlineStr">
        <is>
          <t>ROI model in offerings/. It does NOT include the human reviewer / operations cost — see OPERATING-MODEL.md.</t>
        </is>
      </c>
    </row>
    <row r="9">
      <c r="A9" s="2" t="inlineStr"/>
    </row>
    <row r="10">
      <c r="A10" s="2" t="inlineStr">
        <is>
          <t>HOW TO USE:</t>
        </is>
      </c>
    </row>
    <row r="11">
      <c r="A11" s="2" t="inlineStr">
        <is>
          <t xml:space="preserve">  1. Open the 'Calculator' sheet. Change the BLUE cells (volumes) in the Pilot and Production columns.</t>
        </is>
      </c>
    </row>
    <row r="12">
      <c r="A12" s="2" t="inlineStr">
        <is>
          <t xml:space="preserve">  2. The 'Rates' sheet holds current us-east-1 on-demand prices (fetched 2026-07-09) in BLUE cells —</t>
        </is>
      </c>
    </row>
    <row r="13">
      <c r="A13" s="2" t="inlineStr">
        <is>
          <t xml:space="preserve">     update any rate for your Region / negotiated pricing; cells marked VERIFY should be confirmed.</t>
        </is>
      </c>
    </row>
    <row r="14">
      <c r="A14" s="2" t="inlineStr">
        <is>
          <t xml:space="preserve">  3. Totals recalculate automatically (this workbook forces a full recalc on open).</t>
        </is>
      </c>
    </row>
    <row r="15">
      <c r="A15" s="2" t="inlineStr"/>
    </row>
    <row r="16">
      <c r="A16" s="3" t="inlineStr">
        <is>
          <t>DISCLAIMER: illustrative only, not a quote or guarantee. Prices change and vary by Region. Confirm every</t>
        </is>
      </c>
    </row>
    <row r="17">
      <c r="A17" s="2" t="inlineStr">
        <is>
          <t>figure with the AWS Pricing Calculator (https://calculator.aws) before presenting to finance. Reference</t>
        </is>
      </c>
    </row>
    <row r="18">
      <c r="A18" s="2" t="inlineStr">
        <is>
          <t>accelerator — not an AWS service; see NOT-CLAIMS.md.</t>
        </is>
      </c>
    </row>
    <row r="19">
      <c r="A19" s="2" t="inlineStr"/>
    </row>
    <row r="20">
      <c r="A20" s="3" t="inlineStr">
        <is>
          <t>Colour key:  BLUE = input you change   ·   BLACK = formula   ·   GREEN = links to the Rates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70" customWidth="1" min="4" max="4"/>
  </cols>
  <sheetData>
    <row r="1">
      <c r="A1" s="4" t="inlineStr">
        <is>
          <t>AWS on-demand rates (us-east-1) — edit for your Region / pricing</t>
        </is>
      </c>
    </row>
    <row r="3">
      <c r="A3" s="5" t="inlineStr">
        <is>
          <t>Service / rate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Source (fetched 2026-07-09)</t>
        </is>
      </c>
    </row>
    <row r="4">
      <c r="A4" s="2" t="inlineStr">
        <is>
          <t>Amazon Bedrock — input</t>
        </is>
      </c>
      <c r="B4" s="6" t="n">
        <v>0.003</v>
      </c>
      <c r="C4" s="3" t="inlineStr">
        <is>
          <t>$ / 1K input tokens</t>
        </is>
      </c>
      <c r="D4" s="3" t="inlineStr">
        <is>
          <t>Bedrock pricing (Claude Sonnet $3/1M), aws.amazon.com/bedrock/pricing, 2026-07-09</t>
        </is>
      </c>
    </row>
    <row r="5">
      <c r="A5" s="2" t="inlineStr">
        <is>
          <t>Amazon Bedrock — output</t>
        </is>
      </c>
      <c r="B5" s="6" t="n">
        <v>0.015</v>
      </c>
      <c r="C5" s="3" t="inlineStr">
        <is>
          <t>$ / 1K output tokens</t>
        </is>
      </c>
      <c r="D5" s="3" t="inlineStr">
        <is>
          <t>Bedrock pricing (Claude Sonnet $15/1M), 2026-07-09</t>
        </is>
      </c>
    </row>
    <row r="6">
      <c r="A6" s="2" t="inlineStr">
        <is>
          <t>Bedrock Guardrails</t>
        </is>
      </c>
      <c r="B6" s="7" t="n">
        <v>0.00075</v>
      </c>
      <c r="C6" s="3" t="inlineStr">
        <is>
          <t>$ / 1K text units</t>
        </is>
      </c>
      <c r="D6" s="3" t="inlineStr">
        <is>
          <t>VERIFY — varies by policy; placeholder ~$0.75/1M, 2026-07-09</t>
        </is>
      </c>
    </row>
    <row r="7">
      <c r="A7" s="2" t="inlineStr">
        <is>
          <t>AWS Lambda — requests</t>
        </is>
      </c>
      <c r="B7" s="6" t="n">
        <v>0.2</v>
      </c>
      <c r="C7" s="3" t="inlineStr">
        <is>
          <t>$ / 1M requests</t>
        </is>
      </c>
      <c r="D7" s="3" t="inlineStr">
        <is>
          <t>aws.amazon.com/lambda/pricing, 2026-07-09</t>
        </is>
      </c>
    </row>
    <row r="8">
      <c r="A8" s="2" t="inlineStr">
        <is>
          <t>AWS Lambda — compute (ARM)</t>
        </is>
      </c>
      <c r="B8" s="6" t="n">
        <v>1.33334e-05</v>
      </c>
      <c r="C8" s="3" t="inlineStr">
        <is>
          <t>$ / GB-second</t>
        </is>
      </c>
      <c r="D8" s="3" t="inlineStr">
        <is>
          <t>Lambda pricing (Graviton/ARM), 2026-07-09</t>
        </is>
      </c>
    </row>
    <row r="9">
      <c r="A9" s="2" t="inlineStr">
        <is>
          <t>AWS Step Functions</t>
        </is>
      </c>
      <c r="B9" s="6" t="n">
        <v>0.025</v>
      </c>
      <c r="C9" s="3" t="inlineStr">
        <is>
          <t>$ / 1K state transitions</t>
        </is>
      </c>
      <c r="D9" s="3" t="inlineStr">
        <is>
          <t>Step Functions Standard, aws.amazon.com/step-functions/pricing, 2026-07-09</t>
        </is>
      </c>
    </row>
    <row r="10">
      <c r="A10" s="2" t="inlineStr">
        <is>
          <t>DynamoDB — writes</t>
        </is>
      </c>
      <c r="B10" s="6" t="n">
        <v>1.25</v>
      </c>
      <c r="C10" s="3" t="inlineStr">
        <is>
          <t>$ / 1M WRU</t>
        </is>
      </c>
      <c r="D10" s="3" t="inlineStr">
        <is>
          <t>DynamoDB on-demand, aws.amazon.com/dynamodb/pricing, 2026-07-09</t>
        </is>
      </c>
    </row>
    <row r="11">
      <c r="A11" s="2" t="inlineStr">
        <is>
          <t>DynamoDB — reads (eventual)</t>
        </is>
      </c>
      <c r="B11" s="6" t="n">
        <v>0.125</v>
      </c>
      <c r="C11" s="3" t="inlineStr">
        <is>
          <t>$ / 1M RRU</t>
        </is>
      </c>
      <c r="D11" s="3" t="inlineStr">
        <is>
          <t>DynamoDB on-demand eventual reads, 2026-07-09</t>
        </is>
      </c>
    </row>
    <row r="12">
      <c r="A12" s="2" t="inlineStr">
        <is>
          <t>DynamoDB — storage</t>
        </is>
      </c>
      <c r="B12" s="6" t="n">
        <v>0.25</v>
      </c>
      <c r="C12" s="3" t="inlineStr">
        <is>
          <t>$ / GB-month</t>
        </is>
      </c>
      <c r="D12" s="3" t="inlineStr">
        <is>
          <t>DynamoDB Standard storage (25 GB free), 2026-07-09</t>
        </is>
      </c>
    </row>
    <row r="13">
      <c r="A13" s="2" t="inlineStr">
        <is>
          <t>Amazon S3 — storage</t>
        </is>
      </c>
      <c r="B13" s="7" t="n">
        <v>0.023</v>
      </c>
      <c r="C13" s="3" t="inlineStr">
        <is>
          <t>$ / GB-month</t>
        </is>
      </c>
      <c r="D13" s="3" t="inlineStr">
        <is>
          <t>VERIFY — S3 Standard; Object Lock adds no charge, 2026-07-09</t>
        </is>
      </c>
    </row>
    <row r="14">
      <c r="A14" s="2" t="inlineStr">
        <is>
          <t>CloudWatch — logs ingest</t>
        </is>
      </c>
      <c r="B14" s="6" t="n">
        <v>0.5</v>
      </c>
      <c r="C14" s="3" t="inlineStr">
        <is>
          <t>$ / GB</t>
        </is>
      </c>
      <c r="D14" s="3" t="inlineStr">
        <is>
          <t>CloudWatch Standard log class, aws.amazon.com/cloudwatch/pricing, 2026-07-09</t>
        </is>
      </c>
    </row>
    <row r="15">
      <c r="A15" s="2" t="inlineStr">
        <is>
          <t>CloudWatch — custom metric</t>
        </is>
      </c>
      <c r="B15" s="6" t="n">
        <v>0.3</v>
      </c>
      <c r="C15" s="3" t="inlineStr">
        <is>
          <t>$ / metric-month</t>
        </is>
      </c>
      <c r="D15" s="3" t="inlineStr">
        <is>
          <t>First 10K custom metrics, 2026-07-09</t>
        </is>
      </c>
    </row>
    <row r="16">
      <c r="A16" s="2" t="inlineStr">
        <is>
          <t>AWS WAF — web ACL</t>
        </is>
      </c>
      <c r="B16" s="6" t="n">
        <v>5</v>
      </c>
      <c r="C16" s="3" t="inlineStr">
        <is>
          <t>$ / month</t>
        </is>
      </c>
      <c r="D16" s="3" t="inlineStr">
        <is>
          <t>aws.amazon.com/waf/pricing, 2026-07-09</t>
        </is>
      </c>
    </row>
    <row r="17">
      <c r="A17" s="2" t="inlineStr">
        <is>
          <t>AWS WAF — rule</t>
        </is>
      </c>
      <c r="B17" s="6" t="n">
        <v>1</v>
      </c>
      <c r="C17" s="3" t="inlineStr">
        <is>
          <t>$ / rule-month</t>
        </is>
      </c>
      <c r="D17" s="3" t="inlineStr">
        <is>
          <t>WAF per-rule, 2026-07-09</t>
        </is>
      </c>
    </row>
    <row r="18">
      <c r="A18" s="2" t="inlineStr">
        <is>
          <t>AWS WAF — requests</t>
        </is>
      </c>
      <c r="B18" s="6" t="n">
        <v>0.6</v>
      </c>
      <c r="C18" s="3" t="inlineStr">
        <is>
          <t>$ / 1M requests</t>
        </is>
      </c>
      <c r="D18" s="3" t="inlineStr">
        <is>
          <t>WAF request processing, 2026-07-09</t>
        </is>
      </c>
    </row>
    <row r="19">
      <c r="A19" s="2" t="inlineStr">
        <is>
          <t>API Gateway (HTTP API)</t>
        </is>
      </c>
      <c r="B19" s="6" t="n">
        <v>1</v>
      </c>
      <c r="C19" s="3" t="inlineStr">
        <is>
          <t>$ / 1M requests</t>
        </is>
      </c>
      <c r="D19" s="3" t="inlineStr">
        <is>
          <t>API Gateway HTTP API, aws.amazon.com/api-gateway/pricing, 2026-07-09</t>
        </is>
      </c>
    </row>
    <row r="20">
      <c r="A20" s="2" t="inlineStr">
        <is>
          <t>PrivateLink — endpoint hour</t>
        </is>
      </c>
      <c r="B20" s="6" t="n">
        <v>0.01</v>
      </c>
      <c r="C20" s="3" t="inlineStr">
        <is>
          <t>$ / endpoint / AZ / hour</t>
        </is>
      </c>
      <c r="D20" s="3" t="inlineStr">
        <is>
          <t>aws.amazon.com/privatelink/pricing, 2026-07-09</t>
        </is>
      </c>
    </row>
    <row r="21">
      <c r="A21" s="2" t="inlineStr">
        <is>
          <t>PrivateLink — data</t>
        </is>
      </c>
      <c r="B21" s="6" t="n">
        <v>0.01</v>
      </c>
      <c r="C21" s="3" t="inlineStr">
        <is>
          <t>$ / GB processed</t>
        </is>
      </c>
      <c r="D21" s="3" t="inlineStr">
        <is>
          <t>PrivateLink data processing, 2026-07-09</t>
        </is>
      </c>
    </row>
    <row r="22">
      <c r="A22" s="2" t="inlineStr">
        <is>
          <t>Amazon Cognito</t>
        </is>
      </c>
      <c r="B22" s="7" t="n">
        <v>0.015</v>
      </c>
      <c r="C22" s="3" t="inlineStr">
        <is>
          <t>$ / monthly active user</t>
        </is>
      </c>
      <c r="D22" s="3" t="inlineStr">
        <is>
          <t>VERIFY — tier-dependent; free tier often covers pilots, 2026-07-09</t>
        </is>
      </c>
    </row>
    <row r="23">
      <c r="A23" s="2" t="inlineStr">
        <is>
          <t>AWS KMS — key</t>
        </is>
      </c>
      <c r="B23" s="6" t="n">
        <v>1</v>
      </c>
      <c r="C23" s="3" t="inlineStr">
        <is>
          <t>$ / CMK-month</t>
        </is>
      </c>
      <c r="D23" s="3" t="inlineStr">
        <is>
          <t>aws.amazon.com/kms/pricing, 2026-07-09</t>
        </is>
      </c>
    </row>
    <row r="24">
      <c r="A24" s="2" t="inlineStr">
        <is>
          <t>AWS KMS — requests</t>
        </is>
      </c>
      <c r="B24" s="6" t="n">
        <v>0.03</v>
      </c>
      <c r="C24" s="3" t="inlineStr">
        <is>
          <t>$ / 10K requests</t>
        </is>
      </c>
      <c r="D24" s="3" t="inlineStr">
        <is>
          <t>KMS symmetric ops (20K free/mo), 2026-07-09</t>
        </is>
      </c>
    </row>
    <row r="25">
      <c r="A25" s="2" t="inlineStr">
        <is>
          <t>Hours per month</t>
        </is>
      </c>
      <c r="B25" s="8" t="n">
        <v>730</v>
      </c>
      <c r="C25" s="3" t="inlineStr">
        <is>
          <t>hours</t>
        </is>
      </c>
      <c r="D25" s="3" t="inlineStr">
        <is>
          <t>constant</t>
        </is>
      </c>
    </row>
    <row r="26">
      <c r="A26" s="2" t="inlineStr">
        <is>
          <t>DynamoDB free storage</t>
        </is>
      </c>
      <c r="B26" s="8" t="n">
        <v>25</v>
      </c>
      <c r="C26" s="3" t="inlineStr">
        <is>
          <t>GB</t>
        </is>
      </c>
      <c r="D26" s="3" t="inlineStr">
        <is>
          <t>always-free tier</t>
        </is>
      </c>
    </row>
    <row r="27">
      <c r="A27" s="2" t="inlineStr">
        <is>
          <t>KMS free requests</t>
        </is>
      </c>
      <c r="B27" s="8" t="n">
        <v>20000</v>
      </c>
      <c r="C27" s="3" t="inlineStr">
        <is>
          <t>requests / month</t>
        </is>
      </c>
      <c r="D27" s="3" t="inlineStr">
        <is>
          <t>always-free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2" customWidth="1" min="1" max="1"/>
    <col width="4" customWidth="1" min="2" max="2"/>
    <col width="16" customWidth="1" min="3" max="3"/>
    <col width="16" customWidth="1" min="4" max="4"/>
  </cols>
  <sheetData>
    <row r="1">
      <c r="A1" s="1" t="inlineStr">
        <is>
          <t>SLG AI Agents — monthly AWS run-cost</t>
        </is>
      </c>
    </row>
    <row r="3">
      <c r="A3" s="9" t="inlineStr">
        <is>
          <t>INPUTS — change the blue cells</t>
        </is>
      </c>
    </row>
    <row r="4">
      <c r="A4" s="5" t="inlineStr"/>
      <c r="C4" s="10" t="inlineStr">
        <is>
          <t>Pilot</t>
        </is>
      </c>
      <c r="D4" s="10" t="inlineStr">
        <is>
          <t>Production</t>
        </is>
      </c>
    </row>
    <row r="5">
      <c r="A5" s="2" t="inlineStr">
        <is>
          <t>Agent invocations / month</t>
        </is>
      </c>
      <c r="C5" s="8" t="n">
        <v>10000</v>
      </c>
      <c r="D5" s="8" t="n">
        <v>200000</v>
      </c>
    </row>
    <row r="6">
      <c r="A6" s="2" t="inlineStr">
        <is>
          <t>Avg input tokens / call</t>
        </is>
      </c>
      <c r="C6" s="8" t="n">
        <v>4000</v>
      </c>
      <c r="D6" s="8" t="n">
        <v>4000</v>
      </c>
    </row>
    <row r="7">
      <c r="A7" s="2" t="inlineStr">
        <is>
          <t>Avg output tokens / call</t>
        </is>
      </c>
      <c r="C7" s="8" t="n">
        <v>1500</v>
      </c>
      <c r="D7" s="8" t="n">
        <v>1500</v>
      </c>
    </row>
    <row r="8">
      <c r="A8" s="2" t="inlineStr">
        <is>
          <t>Lambda calls / invocation (tools + steps)</t>
        </is>
      </c>
      <c r="C8" s="8" t="n">
        <v>12</v>
      </c>
      <c r="D8" s="8" t="n">
        <v>12</v>
      </c>
    </row>
    <row r="9">
      <c r="A9" s="2" t="inlineStr">
        <is>
          <t>Lambda GB-seconds / call</t>
        </is>
      </c>
      <c r="C9" s="11" t="n">
        <v>0.5</v>
      </c>
      <c r="D9" s="11" t="n">
        <v>0.5</v>
      </c>
    </row>
    <row r="10">
      <c r="A10" s="2" t="inlineStr">
        <is>
          <t>Step Functions transitions / invocation</t>
        </is>
      </c>
      <c r="C10" s="8" t="n">
        <v>8</v>
      </c>
      <c r="D10" s="8" t="n">
        <v>8</v>
      </c>
    </row>
    <row r="11">
      <c r="A11" s="2" t="inlineStr">
        <is>
          <t>DynamoDB write units / invocation</t>
        </is>
      </c>
      <c r="C11" s="8" t="n">
        <v>6</v>
      </c>
      <c r="D11" s="8" t="n">
        <v>6</v>
      </c>
    </row>
    <row r="12">
      <c r="A12" s="2" t="inlineStr">
        <is>
          <t>DynamoDB read units / invocation</t>
        </is>
      </c>
      <c r="C12" s="8" t="n">
        <v>4</v>
      </c>
      <c r="D12" s="8" t="n">
        <v>4</v>
      </c>
    </row>
    <row r="13">
      <c r="A13" s="2" t="inlineStr">
        <is>
          <t>DynamoDB storage (GB)</t>
        </is>
      </c>
      <c r="C13" s="8" t="n">
        <v>5</v>
      </c>
      <c r="D13" s="8" t="n">
        <v>50</v>
      </c>
    </row>
    <row r="14">
      <c r="A14" s="2" t="inlineStr">
        <is>
          <t>S3 audit storage — WORM (GB)</t>
        </is>
      </c>
      <c r="C14" s="8" t="n">
        <v>20</v>
      </c>
      <c r="D14" s="8" t="n">
        <v>500</v>
      </c>
    </row>
    <row r="15">
      <c r="A15" s="2" t="inlineStr">
        <is>
          <t>CloudWatch logs (GB / month)</t>
        </is>
      </c>
      <c r="C15" s="8" t="n">
        <v>20</v>
      </c>
      <c r="D15" s="8" t="n">
        <v>300</v>
      </c>
    </row>
    <row r="16">
      <c r="A16" s="2" t="inlineStr">
        <is>
          <t>CloudWatch custom metrics</t>
        </is>
      </c>
      <c r="C16" s="8" t="n">
        <v>20</v>
      </c>
      <c r="D16" s="8" t="n">
        <v>30</v>
      </c>
    </row>
    <row r="17">
      <c r="A17" s="2" t="inlineStr">
        <is>
          <t>WAF rules</t>
        </is>
      </c>
      <c r="C17" s="8" t="n">
        <v>5</v>
      </c>
      <c r="D17" s="8" t="n">
        <v>8</v>
      </c>
    </row>
    <row r="18">
      <c r="A18" s="2" t="inlineStr">
        <is>
          <t>Public edge requests / month</t>
        </is>
      </c>
      <c r="C18" s="8" t="n">
        <v>50000</v>
      </c>
      <c r="D18" s="8" t="n">
        <v>1000000</v>
      </c>
    </row>
    <row r="19">
      <c r="A19" s="2" t="inlineStr">
        <is>
          <t>PrivateLink endpoints</t>
        </is>
      </c>
      <c r="C19" s="8" t="n">
        <v>4</v>
      </c>
      <c r="D19" s="8" t="n">
        <v>5</v>
      </c>
    </row>
    <row r="20">
      <c r="A20" s="2" t="inlineStr">
        <is>
          <t>PrivateLink AZs</t>
        </is>
      </c>
      <c r="C20" s="8" t="n">
        <v>2</v>
      </c>
      <c r="D20" s="8" t="n">
        <v>3</v>
      </c>
    </row>
    <row r="21">
      <c r="A21" s="2" t="inlineStr">
        <is>
          <t>PrivateLink data processed (GB / month)</t>
        </is>
      </c>
      <c r="C21" s="8" t="n">
        <v>50</v>
      </c>
      <c r="D21" s="8" t="n">
        <v>800</v>
      </c>
    </row>
    <row r="22">
      <c r="A22" s="2" t="inlineStr">
        <is>
          <t>Cognito monthly active users</t>
        </is>
      </c>
      <c r="C22" s="8" t="n">
        <v>50</v>
      </c>
      <c r="D22" s="8" t="n">
        <v>500</v>
      </c>
    </row>
    <row r="23">
      <c r="A23" s="2" t="inlineStr">
        <is>
          <t>KMS keys</t>
        </is>
      </c>
      <c r="C23" s="8" t="n">
        <v>3</v>
      </c>
      <c r="D23" s="8" t="n">
        <v>4</v>
      </c>
    </row>
    <row r="24">
      <c r="A24" s="2" t="inlineStr">
        <is>
          <t>KMS requests / month</t>
        </is>
      </c>
      <c r="C24" s="8" t="n">
        <v>200000</v>
      </c>
      <c r="D24" s="8" t="n">
        <v>2000000</v>
      </c>
    </row>
    <row r="25">
      <c r="A25" s="2" t="inlineStr">
        <is>
          <t>Support tier (% of AWS spend)</t>
        </is>
      </c>
      <c r="C25" s="12" t="n">
        <v>0.1</v>
      </c>
      <c r="D25" s="12" t="n">
        <v>0.1</v>
      </c>
    </row>
    <row r="27">
      <c r="A27" s="9" t="inlineStr">
        <is>
          <t>MONTHLY COST BY SERVICE</t>
        </is>
      </c>
    </row>
    <row r="28">
      <c r="A28" s="5" t="inlineStr">
        <is>
          <t>Service</t>
        </is>
      </c>
      <c r="C28" s="10" t="inlineStr">
        <is>
          <t>Pilot</t>
        </is>
      </c>
      <c r="D28" s="10" t="inlineStr">
        <is>
          <t>Production</t>
        </is>
      </c>
    </row>
    <row r="29">
      <c r="A29" s="2" t="inlineStr">
        <is>
          <t>Amazon Bedrock (inference)</t>
        </is>
      </c>
      <c r="C29" s="13">
        <f>C5*(C6/1000*Rates!$B$4+C7/1000*Rates!$B$5)</f>
        <v/>
      </c>
      <c r="D29" s="13">
        <f>D5*(D6/1000*Rates!$B$4+D7/1000*Rates!$B$5)</f>
        <v/>
      </c>
    </row>
    <row r="30">
      <c r="A30" s="2" t="inlineStr">
        <is>
          <t>Bedrock Guardrails</t>
        </is>
      </c>
      <c r="C30" s="13">
        <f>C5*((C6+C7)/1000)*Rates!$B$6</f>
        <v/>
      </c>
      <c r="D30" s="13">
        <f>D5*((D6+D7)/1000)*Rates!$B$6</f>
        <v/>
      </c>
    </row>
    <row r="31">
      <c r="A31" s="2" t="inlineStr">
        <is>
          <t>API Gateway (HTTP)</t>
        </is>
      </c>
      <c r="C31" s="13">
        <f>C18/1000000*Rates!$B$19</f>
        <v/>
      </c>
      <c r="D31" s="13">
        <f>D18/1000000*Rates!$B$19</f>
        <v/>
      </c>
    </row>
    <row r="32">
      <c r="A32" s="2" t="inlineStr">
        <is>
          <t>AWS Lambda</t>
        </is>
      </c>
      <c r="C32" s="13">
        <f>C5*C8/1000000*Rates!$B$7+C5*C8*C9*Rates!$B$8</f>
        <v/>
      </c>
      <c r="D32" s="13">
        <f>D5*D8/1000000*Rates!$B$7+D5*D8*D9*Rates!$B$8</f>
        <v/>
      </c>
    </row>
    <row r="33">
      <c r="A33" s="2" t="inlineStr">
        <is>
          <t>AWS Step Functions</t>
        </is>
      </c>
      <c r="C33" s="13">
        <f>C5*C10*Rates!$B$9/1000</f>
        <v/>
      </c>
      <c r="D33" s="13">
        <f>D5*D10*Rates!$B$9/1000</f>
        <v/>
      </c>
    </row>
    <row r="34">
      <c r="A34" s="2" t="inlineStr">
        <is>
          <t>Amazon DynamoDB</t>
        </is>
      </c>
      <c r="C34" s="13">
        <f>C5*(C11*Rates!$B$10/1000000+C12*Rates!$B$11/1000000)+MAX(C13-Rates!$B$26,0)*Rates!$B$12</f>
        <v/>
      </c>
      <c r="D34" s="13">
        <f>D5*(D11*Rates!$B$10/1000000+D12*Rates!$B$11/1000000)+MAX(D13-Rates!$B$26,0)*Rates!$B$12</f>
        <v/>
      </c>
    </row>
    <row r="35">
      <c r="A35" s="2" t="inlineStr">
        <is>
          <t>Amazon S3 (audit WORM)</t>
        </is>
      </c>
      <c r="C35" s="13">
        <f>C14*Rates!$B$13</f>
        <v/>
      </c>
      <c r="D35" s="13">
        <f>D14*Rates!$B$13</f>
        <v/>
      </c>
    </row>
    <row r="36">
      <c r="A36" s="2" t="inlineStr">
        <is>
          <t>Amazon CloudWatch</t>
        </is>
      </c>
      <c r="C36" s="13">
        <f>C15*Rates!$B$14+C16*Rates!$B$15</f>
        <v/>
      </c>
      <c r="D36" s="13">
        <f>D15*Rates!$B$14+D16*Rates!$B$15</f>
        <v/>
      </c>
    </row>
    <row r="37">
      <c r="A37" s="2" t="inlineStr">
        <is>
          <t>AWS WAF</t>
        </is>
      </c>
      <c r="C37" s="13">
        <f>Rates!$B$16+C17*Rates!$B$17+C18/1000000*Rates!$B$18</f>
        <v/>
      </c>
      <c r="D37" s="13">
        <f>Rates!$B$16+D17*Rates!$B$17+D18/1000000*Rates!$B$18</f>
        <v/>
      </c>
    </row>
    <row r="38">
      <c r="A38" s="2" t="inlineStr">
        <is>
          <t>AWS PrivateLink</t>
        </is>
      </c>
      <c r="C38" s="13">
        <f>C19*C20*Rates!$B$25*Rates!$B$20+C21*Rates!$B$21</f>
        <v/>
      </c>
      <c r="D38" s="13">
        <f>D19*D20*Rates!$B$25*Rates!$B$20+D21*Rates!$B$21</f>
        <v/>
      </c>
    </row>
    <row r="39">
      <c r="A39" s="2" t="inlineStr">
        <is>
          <t>Amazon Cognito</t>
        </is>
      </c>
      <c r="C39" s="13">
        <f>C22*Rates!$B$22</f>
        <v/>
      </c>
      <c r="D39" s="13">
        <f>D22*Rates!$B$22</f>
        <v/>
      </c>
    </row>
    <row r="40">
      <c r="A40" s="2" t="inlineStr">
        <is>
          <t>AWS KMS</t>
        </is>
      </c>
      <c r="C40" s="13">
        <f>C23*Rates!$B$23+MAX(C24-Rates!$B$27,0)/10000*Rates!$B$24</f>
        <v/>
      </c>
      <c r="D40" s="13">
        <f>D23*Rates!$B$23+MAX(D24-Rates!$B$27,0)/10000*Rates!$B$24</f>
        <v/>
      </c>
    </row>
    <row r="41">
      <c r="A41" s="9" t="inlineStr">
        <is>
          <t>Subtotal — AWS services</t>
        </is>
      </c>
      <c r="C41" s="14">
        <f>SUM(C29:C40)</f>
        <v/>
      </c>
      <c r="D41" s="14">
        <f>SUM(D29:D40)</f>
        <v/>
      </c>
    </row>
    <row r="42">
      <c r="A42" s="2" t="inlineStr">
        <is>
          <t>AWS Support (% of spend)</t>
        </is>
      </c>
      <c r="C42" s="13">
        <f>C41*C25</f>
        <v/>
      </c>
      <c r="D42" s="13">
        <f>D41*D25</f>
        <v/>
      </c>
    </row>
    <row r="43">
      <c r="A43" s="15" t="inlineStr">
        <is>
          <t>TOTAL monthly AWS run-cost</t>
        </is>
      </c>
      <c r="C43" s="16">
        <f>C41+C42</f>
        <v/>
      </c>
      <c r="D43" s="16">
        <f>D41+D42</f>
        <v/>
      </c>
    </row>
    <row r="45">
      <c r="A45" s="3" t="inlineStr">
        <is>
          <t>Not included: human reviewer / operations time (see OPERATING-MODEL.md), one-time SI professional services, and data-transfer beyond PrivateLink. Illustrative — verify at calculator.aws.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2026-07-10T00:56:55Z</dcterms:created>
  <dcterms:modified xmlns:dcterms="http://purl.org/dc/terms/" xmlns:xsi="http://www.w3.org/2001/XMLSchema-instance" xsi:type="dcterms:W3CDTF">2026-07-10T00:56:55Z</dcterms:modified>
</cp:coreProperties>
</file>